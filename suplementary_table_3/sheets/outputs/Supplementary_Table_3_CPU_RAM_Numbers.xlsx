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G002" sheetId="1" r:id="rId1"/>
    <sheet name="HG005" sheetId="2" r:id="rId2"/>
    <sheet name="HG01109" sheetId="3" r:id="rId3"/>
    <sheet name="HG01243" sheetId="4" r:id="rId4"/>
  </sheets>
  <definedNames>
    <definedName name="_xlnm.Print_Area" localSheetId="0">'HG002'!$A$1:$G$37</definedName>
    <definedName name="_xlnm.Print_Area" localSheetId="1">'HG005'!$A$1:$G$37</definedName>
    <definedName name="_xlnm.Print_Area" localSheetId="2">'HG01109'!$A$1:$G$37</definedName>
    <definedName name="_xlnm.Print_Area" localSheetId="3">'HG01243'!$A$1:$G$37</definedName>
  </definedNames>
  <calcPr calcId="124519" fullCalcOnLoad="1"/>
</workbook>
</file>

<file path=xl/sharedStrings.xml><?xml version="1.0" encoding="utf-8"?>
<sst xmlns="http://schemas.openxmlformats.org/spreadsheetml/2006/main" count="360" uniqueCount="50">
  <si>
    <t>Supplementary Table 3 — CPU and memory requirements: HG002</t>
  </si>
  <si>
    <t>Process breakdown with formula-driven stage subtotals and workflow totals. RFhap is teal; hifiasm-trio is orange.</t>
  </si>
  <si>
    <t>Stage</t>
  </si>
  <si>
    <t>Workflow</t>
  </si>
  <si>
    <t>Process / subtotal / total</t>
  </si>
  <si>
    <t>CPUs / threads</t>
  </si>
  <si>
    <t>Peak RSS (GB)</t>
  </si>
  <si>
    <t>Row type</t>
  </si>
  <si>
    <t>Calculation basis</t>
  </si>
  <si>
    <t>Parental databases</t>
  </si>
  <si>
    <t>RFhap</t>
  </si>
  <si>
    <t>K-mer database construction</t>
  </si>
  <si>
    <t>Component</t>
  </si>
  <si>
    <t>Parsed process allocation / RSS</t>
  </si>
  <si>
    <t>K-mer database sorting</t>
  </si>
  <si>
    <t>SUBTOTAL — Parental databases</t>
  </si>
  <si>
    <t>Stage subtotal</t>
  </si>
  <si>
    <t>CPU: parsed peak concurrency; RAM: MAX of components</t>
  </si>
  <si>
    <t>RFhap classification + assembly</t>
  </si>
  <si>
    <t>FASTKM feature extraction</t>
  </si>
  <si>
    <t>Haplotype A assembly</t>
  </si>
  <si>
    <t>Haplotype B assembly</t>
  </si>
  <si>
    <t>Haplotype assignment</t>
  </si>
  <si>
    <t>Input preparation</t>
  </si>
  <si>
    <t>Random Forest prediction</t>
  </si>
  <si>
    <t>Random Forest training</t>
  </si>
  <si>
    <t>Read partitioning</t>
  </si>
  <si>
    <t>SUBTOTAL — RFhap classification + assembly</t>
  </si>
  <si>
    <t>Workflow total</t>
  </si>
  <si>
    <t>TOTAL — maximum resource requirement</t>
  </si>
  <si>
    <t>MAX of the two RFhap stage subtotals</t>
  </si>
  <si>
    <t>Hifiasm-trio</t>
  </si>
  <si>
    <t>Yak maternal database</t>
  </si>
  <si>
    <t>Requested -t threads / command peak RSS</t>
  </si>
  <si>
    <t>Yak paternal database</t>
  </si>
  <si>
    <t>MAX of maternal and paternal commands</t>
  </si>
  <si>
    <t>Hifiasm trio</t>
  </si>
  <si>
    <t>Integrated trio-binning + assembly</t>
  </si>
  <si>
    <t>SUBTOTAL — Hifiasm trio</t>
  </si>
  <si>
    <t>MAX of stage commands</t>
  </si>
  <si>
    <t>MAX of the two hifiasm-trio stage subtotals</t>
  </si>
  <si>
    <t>Calculation inputs and interpretation</t>
  </si>
  <si>
    <t>Parsed peak concurrent CPUs</t>
  </si>
  <si>
    <t>Definition</t>
  </si>
  <si>
    <t>Peak allocated CPUs (RFhap) or maximum requested threads</t>
  </si>
  <si>
    <t>Classification + assembly</t>
  </si>
  <si>
    <t>Notes. RFhap component CPUs are Nextflow task allocations; RFhap stage CPUs are parsed peak concurrent allocations and therefore are not sums of the displayed component maxima. Yak/hifiasm CPUs are requested -t threads. Peak RSS is the maximum resident memory and is never summed. Workflow totals are maximum capacity requirements across stages.</t>
  </si>
  <si>
    <t>Supplementary Table 3 — CPU and memory requirements: HG005</t>
  </si>
  <si>
    <t>Supplementary Table 3 — CPU and memory requirements: HG01109</t>
  </si>
  <si>
    <t>Supplementary Table 3 — CPU and memory requirements: HG01243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</si>
</sst>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52606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202A33"/>
      <name val="Calibri"/>
      <family val="2"/>
      <scheme val="minor"/>
    </font>
    <font>
      <b/>
      <sz val="10"/>
      <color rgb="FF202A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02A33"/>
      <name val="Calibri"/>
      <family val="2"/>
      <scheme val="minor"/>
    </font>
    <font>
      <sz val="11"/>
      <color rgb="FF202A33"/>
      <name val="Calibri"/>
      <family val="2"/>
      <scheme val="minor"/>
    </font>
    <font>
      <i/>
      <sz val="9"/>
      <color rgb="FF52606D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8324B"/>
        <bgColor indexed="64"/>
      </patternFill>
    </fill>
    <fill>
      <patternFill patternType="solid">
        <fgColor rgb="FFE5F4F1"/>
        <bgColor indexed="64"/>
      </patternFill>
    </fill>
    <fill>
      <patternFill patternType="solid">
        <fgColor rgb="FFBFE3DC"/>
        <bgColor indexed="64"/>
      </patternFill>
    </fill>
    <fill>
      <patternFill patternType="solid">
        <fgColor rgb="FF238E83"/>
        <bgColor indexed="64"/>
      </patternFill>
    </fill>
    <fill>
      <patternFill patternType="solid">
        <fgColor rgb="FFFCEAE0"/>
        <bgColor indexed="64"/>
      </patternFill>
    </fill>
    <fill>
      <patternFill patternType="solid">
        <fgColor rgb="FFF5CCB8"/>
        <bgColor indexed="64"/>
      </patternFill>
    </fill>
    <fill>
      <patternFill patternType="solid">
        <fgColor rgb="FFD9793D"/>
        <bgColor indexed="64"/>
      </patternFill>
    </fill>
    <fill>
      <patternFill patternType="solid">
        <fgColor rgb="FFF3F6F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7D2D9"/>
      </bottom>
      <diagonal/>
    </border>
    <border>
      <left/>
      <right/>
      <top style="medium">
        <color rgb="FF18324B"/>
      </top>
      <bottom style="thin">
        <color rgb="FFC7D2D9"/>
      </bottom>
      <diagonal/>
    </border>
    <border>
      <left style="thin">
        <color rgb="FFC7D2D9"/>
      </left>
      <right style="thin">
        <color rgb="FFC7D2D9"/>
      </right>
      <top style="thin">
        <color rgb="FFC7D2D9"/>
      </top>
      <bottom style="thin">
        <color rgb="FFC7D2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vertical="center" wrapText="1"/>
    </xf>
    <xf numFmtId="164" fontId="5" fillId="4" borderId="2" xfId="0" applyNumberFormat="1" applyFont="1" applyFill="1" applyBorder="1" applyAlignment="1">
      <alignment horizontal="right" vertical="center" wrapText="1"/>
    </xf>
    <xf numFmtId="165" fontId="5" fillId="4" borderId="2" xfId="0" applyNumberFormat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165" fontId="3" fillId="5" borderId="2" xfId="0" applyNumberFormat="1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5" fontId="4" fillId="6" borderId="1" xfId="0" applyNumberFormat="1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vertical="center" wrapText="1"/>
    </xf>
    <xf numFmtId="164" fontId="5" fillId="7" borderId="2" xfId="0" applyNumberFormat="1" applyFont="1" applyFill="1" applyBorder="1" applyAlignment="1">
      <alignment horizontal="right" vertical="center" wrapText="1"/>
    </xf>
    <xf numFmtId="165" fontId="5" fillId="7" borderId="2" xfId="0" applyNumberFormat="1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vertical="center" wrapText="1"/>
    </xf>
    <xf numFmtId="164" fontId="3" fillId="8" borderId="2" xfId="0" applyNumberFormat="1" applyFont="1" applyFill="1" applyBorder="1" applyAlignment="1">
      <alignment horizontal="right" vertical="center" wrapText="1"/>
    </xf>
    <xf numFmtId="165" fontId="3" fillId="8" borderId="2" xfId="0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vertical="center"/>
    </xf>
    <xf numFmtId="0" fontId="7" fillId="9" borderId="3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164" fontId="8" fillId="0" borderId="3" xfId="0" applyNumberFormat="1" applyFont="1" applyBorder="1" applyAlignment="1">
      <alignment horizontal="right"/>
    </xf>
    <xf numFmtId="0" fontId="9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21.7109375" customWidth="1"/>
    <col min="3" max="3" width="34.7109375" customWidth="1"/>
    <col min="4" max="4" width="14.7109375" customWidth="1"/>
    <col min="5" max="5" width="15.7109375" customWidth="1"/>
    <col min="6" max="6" width="14.7109375" customWidth="1"/>
    <col min="7" max="7" width="31.7109375" customWidth="1"/>
  </cols>
  <sheetData>
    <row r="1" spans="1:7" ht="26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4" spans="1:7" ht="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4" t="s">
        <v>10</v>
      </c>
      <c r="C5" s="4" t="s">
        <v>11</v>
      </c>
      <c r="D5" s="5">
        <v>20</v>
      </c>
      <c r="E5" s="6">
        <v>15.9</v>
      </c>
      <c r="F5" s="4" t="s">
        <v>12</v>
      </c>
      <c r="G5" s="4" t="s">
        <v>13</v>
      </c>
    </row>
    <row r="6" spans="1:7">
      <c r="A6" s="4"/>
      <c r="B6" s="4"/>
      <c r="C6" s="4" t="s">
        <v>14</v>
      </c>
      <c r="D6" s="5">
        <v>1</v>
      </c>
      <c r="E6" s="6">
        <v>0</v>
      </c>
      <c r="F6" s="4" t="s">
        <v>12</v>
      </c>
      <c r="G6" s="4" t="s">
        <v>13</v>
      </c>
    </row>
    <row r="7" spans="1:7">
      <c r="A7" s="7"/>
      <c r="B7" s="7"/>
      <c r="C7" s="7" t="s">
        <v>15</v>
      </c>
      <c r="D7" s="8">
        <f>$C$30</f>
        <v>80.0</v>
      </c>
      <c r="E7" s="9">
        <f>MAX(E5:E6)</f>
        <v>15.9</v>
      </c>
      <c r="F7" s="7" t="s">
        <v>16</v>
      </c>
      <c r="G7" s="7" t="s">
        <v>17</v>
      </c>
    </row>
    <row r="8" spans="1:7">
      <c r="A8" s="4" t="s">
        <v>18</v>
      </c>
      <c r="B8" s="4" t="s">
        <v>10</v>
      </c>
      <c r="C8" s="4" t="s">
        <v>19</v>
      </c>
      <c r="D8" s="5">
        <v>44</v>
      </c>
      <c r="E8" s="6">
        <v>36.82</v>
      </c>
      <c r="F8" s="4" t="s">
        <v>12</v>
      </c>
      <c r="G8" s="4" t="s">
        <v>13</v>
      </c>
    </row>
    <row r="9" spans="1:7">
      <c r="A9" s="4"/>
      <c r="B9" s="4"/>
      <c r="C9" s="4" t="s">
        <v>20</v>
      </c>
      <c r="D9" s="5">
        <v>60</v>
      </c>
      <c r="E9" s="6">
        <v>277.76</v>
      </c>
      <c r="F9" s="4" t="s">
        <v>12</v>
      </c>
      <c r="G9" s="4" t="s">
        <v>13</v>
      </c>
    </row>
    <row r="10" spans="1:7">
      <c r="A10" s="4"/>
      <c r="B10" s="4"/>
      <c r="C10" s="4" t="s">
        <v>21</v>
      </c>
      <c r="D10" s="5">
        <v>60</v>
      </c>
      <c r="E10" s="6">
        <v>278.69</v>
      </c>
      <c r="F10" s="4" t="s">
        <v>12</v>
      </c>
      <c r="G10" s="4" t="s">
        <v>13</v>
      </c>
    </row>
    <row r="11" spans="1:7">
      <c r="A11" s="4"/>
      <c r="B11" s="4"/>
      <c r="C11" s="4" t="s">
        <v>22</v>
      </c>
      <c r="D11" s="5">
        <v>1</v>
      </c>
      <c r="E11" s="6">
        <v>0.01</v>
      </c>
      <c r="F11" s="4" t="s">
        <v>12</v>
      </c>
      <c r="G11" s="4" t="s">
        <v>13</v>
      </c>
    </row>
    <row r="12" spans="1:7">
      <c r="A12" s="4"/>
      <c r="B12" s="4"/>
      <c r="C12" s="4" t="s">
        <v>23</v>
      </c>
      <c r="D12" s="5">
        <v>1</v>
      </c>
      <c r="E12" s="6">
        <v>0</v>
      </c>
      <c r="F12" s="4" t="s">
        <v>12</v>
      </c>
      <c r="G12" s="4" t="s">
        <v>13</v>
      </c>
    </row>
    <row r="13" spans="1:7">
      <c r="A13" s="4"/>
      <c r="B13" s="4"/>
      <c r="C13" s="4" t="s">
        <v>24</v>
      </c>
      <c r="D13" s="5">
        <v>1</v>
      </c>
      <c r="E13" s="6">
        <v>0.71</v>
      </c>
      <c r="F13" s="4" t="s">
        <v>12</v>
      </c>
      <c r="G13" s="4" t="s">
        <v>13</v>
      </c>
    </row>
    <row r="14" spans="1:7">
      <c r="A14" s="4"/>
      <c r="B14" s="4"/>
      <c r="C14" s="4" t="s">
        <v>25</v>
      </c>
      <c r="D14" s="5">
        <v>1</v>
      </c>
      <c r="E14" s="6">
        <v>6.26</v>
      </c>
      <c r="F14" s="4" t="s">
        <v>12</v>
      </c>
      <c r="G14" s="4" t="s">
        <v>13</v>
      </c>
    </row>
    <row r="15" spans="1:7">
      <c r="A15" s="4"/>
      <c r="B15" s="4"/>
      <c r="C15" s="4" t="s">
        <v>26</v>
      </c>
      <c r="D15" s="5">
        <v>8</v>
      </c>
      <c r="E15" s="6">
        <v>0.39</v>
      </c>
      <c r="F15" s="4" t="s">
        <v>12</v>
      </c>
      <c r="G15" s="4" t="s">
        <v>13</v>
      </c>
    </row>
    <row r="16" spans="1:7">
      <c r="A16" s="7"/>
      <c r="B16" s="7"/>
      <c r="C16" s="7" t="s">
        <v>27</v>
      </c>
      <c r="D16" s="8">
        <f>$C$31</f>
        <v>358.0</v>
      </c>
      <c r="E16" s="9">
        <f>MAX(E8:E15)</f>
        <v>278.69</v>
      </c>
      <c r="F16" s="7" t="s">
        <v>16</v>
      </c>
      <c r="G16" s="7" t="s">
        <v>17</v>
      </c>
    </row>
    <row r="17" spans="1:7">
      <c r="A17" s="10" t="s">
        <v>28</v>
      </c>
      <c r="B17" s="10" t="s">
        <v>10</v>
      </c>
      <c r="C17" s="10" t="s">
        <v>29</v>
      </c>
      <c r="D17" s="11">
        <f>MAX(D7,D16)</f>
        <v>358.0</v>
      </c>
      <c r="E17" s="12">
        <f>MAX(E7,E16)</f>
        <v>278.69</v>
      </c>
      <c r="F17" s="10" t="s">
        <v>28</v>
      </c>
      <c r="G17" s="10" t="s">
        <v>30</v>
      </c>
    </row>
    <row r="19" spans="1:7">
      <c r="A19" s="13" t="s">
        <v>9</v>
      </c>
      <c r="B19" s="13" t="s">
        <v>31</v>
      </c>
      <c r="C19" s="13" t="s">
        <v>32</v>
      </c>
      <c r="D19" s="14">
        <v>40</v>
      </c>
      <c r="E19" s="15">
        <v>48.8</v>
      </c>
      <c r="F19" s="13" t="s">
        <v>12</v>
      </c>
      <c r="G19" s="13" t="s">
        <v>33</v>
      </c>
    </row>
    <row r="20" spans="1:7">
      <c r="A20" s="13"/>
      <c r="B20" s="13"/>
      <c r="C20" s="13" t="s">
        <v>34</v>
      </c>
      <c r="D20" s="14">
        <v>40</v>
      </c>
      <c r="E20" s="15">
        <v>48.81</v>
      </c>
      <c r="F20" s="13" t="s">
        <v>12</v>
      </c>
      <c r="G20" s="13" t="s">
        <v>33</v>
      </c>
    </row>
    <row r="21" spans="1:7">
      <c r="A21" s="16"/>
      <c r="B21" s="16"/>
      <c r="C21" s="16" t="s">
        <v>15</v>
      </c>
      <c r="D21" s="17">
        <f>MAX(D19:D20)</f>
        <v>40.0</v>
      </c>
      <c r="E21" s="18">
        <f>MAX(E19:E20)</f>
        <v>48.81</v>
      </c>
      <c r="F21" s="16" t="s">
        <v>16</v>
      </c>
      <c r="G21" s="16" t="s">
        <v>35</v>
      </c>
    </row>
    <row r="22" spans="1:7">
      <c r="A22" s="13" t="s">
        <v>36</v>
      </c>
      <c r="B22" s="13" t="s">
        <v>31</v>
      </c>
      <c r="C22" s="13" t="s">
        <v>37</v>
      </c>
      <c r="D22" s="14">
        <v>40</v>
      </c>
      <c r="E22" s="15">
        <v>474.6</v>
      </c>
      <c r="F22" s="13" t="s">
        <v>12</v>
      </c>
      <c r="G22" s="13" t="s">
        <v>33</v>
      </c>
    </row>
    <row r="23" spans="1:7">
      <c r="A23" s="16"/>
      <c r="B23" s="16"/>
      <c r="C23" s="16" t="s">
        <v>38</v>
      </c>
      <c r="D23" s="17">
        <f>MAX(D22:D22)</f>
        <v>40.0</v>
      </c>
      <c r="E23" s="18">
        <f>MAX(E22:E22)</f>
        <v>474.6</v>
      </c>
      <c r="F23" s="16" t="s">
        <v>16</v>
      </c>
      <c r="G23" s="16" t="s">
        <v>39</v>
      </c>
    </row>
    <row r="24" spans="1:7">
      <c r="A24" s="19" t="s">
        <v>28</v>
      </c>
      <c r="B24" s="19" t="s">
        <v>31</v>
      </c>
      <c r="C24" s="19" t="s">
        <v>29</v>
      </c>
      <c r="D24" s="20">
        <f>MAX(D21,D23)</f>
        <v>40.0</v>
      </c>
      <c r="E24" s="21">
        <f>MAX(E21,E23)</f>
        <v>474.6</v>
      </c>
      <c r="F24" s="19" t="s">
        <v>28</v>
      </c>
      <c r="G24" s="19" t="s">
        <v>40</v>
      </c>
    </row>
    <row r="27" spans="1:7">
      <c r="A27" s="22" t="s">
        <v>41</v>
      </c>
      <c r="B27" s="22"/>
      <c r="C27" s="22"/>
      <c r="D27" s="22"/>
      <c r="E27" s="22"/>
      <c r="F27" s="22"/>
      <c r="G27" s="22"/>
    </row>
    <row r="29" spans="1:7" ht="28" customHeight="1">
      <c r="A29" s="23" t="s">
        <v>3</v>
      </c>
      <c r="B29" s="23" t="s">
        <v>2</v>
      </c>
      <c r="C29" s="23" t="s">
        <v>42</v>
      </c>
      <c r="D29" s="23" t="s">
        <v>43</v>
      </c>
      <c r="E29" s="23"/>
      <c r="F29" s="23"/>
      <c r="G29" s="23"/>
    </row>
    <row r="30" spans="1:7" ht="28" customHeight="1">
      <c r="A30" s="24" t="s">
        <v>10</v>
      </c>
      <c r="B30" s="24" t="s">
        <v>9</v>
      </c>
      <c r="C30" s="25">
        <v>80</v>
      </c>
      <c r="D30" s="24" t="s">
        <v>44</v>
      </c>
      <c r="E30" s="24"/>
      <c r="F30" s="24"/>
      <c r="G30" s="24"/>
    </row>
    <row r="31" spans="1:7" ht="28" customHeight="1">
      <c r="A31" s="24" t="s">
        <v>10</v>
      </c>
      <c r="B31" s="24" t="s">
        <v>45</v>
      </c>
      <c r="C31" s="25">
        <v>358</v>
      </c>
      <c r="D31" s="24" t="s">
        <v>44</v>
      </c>
      <c r="E31" s="24"/>
      <c r="F31" s="24"/>
      <c r="G31" s="24"/>
    </row>
    <row r="35" spans="1:7" ht="20" customHeight="1">
      <c r="A35" s="26" t="s">
        <v>46</v>
      </c>
      <c r="B35" s="26"/>
      <c r="C35" s="26"/>
      <c r="D35" s="26"/>
      <c r="E35" s="26"/>
      <c r="F35" s="26"/>
      <c r="G35" s="26"/>
    </row>
    <row r="36" spans="1:7" ht="20" customHeight="1">
      <c r="A36" s="26"/>
      <c r="B36" s="26"/>
      <c r="C36" s="26"/>
      <c r="D36" s="26"/>
      <c r="E36" s="26"/>
      <c r="F36" s="26"/>
      <c r="G36" s="26"/>
    </row>
    <row r="37" spans="1:7" ht="20" customHeight="1">
      <c r="A37" s="26"/>
      <c r="B37" s="26"/>
      <c r="C37" s="26"/>
      <c r="D37" s="26"/>
      <c r="E37" s="26"/>
      <c r="F37" s="26"/>
      <c r="G37" s="26"/>
    </row>
  </sheetData>
  <mergeCells count="7">
    <mergeCell ref="A1:G1"/>
    <mergeCell ref="A2:G2"/>
    <mergeCell ref="A27:G27"/>
    <mergeCell ref="D29:G29"/>
    <mergeCell ref="D30:G30"/>
    <mergeCell ref="D31:G31"/>
    <mergeCell ref="A35:G37"/>
  </mergeCells>
  <pageMargins left="0.25" right="0.25" top="0.35" bottom="0.35" header="0.3" footer="0.3"/>
  <pageSetup fitToHeight="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21.7109375" customWidth="1"/>
    <col min="3" max="3" width="34.7109375" customWidth="1"/>
    <col min="4" max="4" width="14.7109375" customWidth="1"/>
    <col min="5" max="5" width="15.7109375" customWidth="1"/>
    <col min="6" max="6" width="14.7109375" customWidth="1"/>
    <col min="7" max="7" width="31.7109375" customWidth="1"/>
  </cols>
  <sheetData>
    <row r="1" spans="1:7" ht="26" customHeight="1">
      <c r="A1" s="1" t="s">
        <v>47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4" spans="1:7" ht="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4" t="s">
        <v>10</v>
      </c>
      <c r="C5" s="4" t="s">
        <v>11</v>
      </c>
      <c r="D5" s="5">
        <v>20</v>
      </c>
      <c r="E5" s="6">
        <v>19.88</v>
      </c>
      <c r="F5" s="4" t="s">
        <v>12</v>
      </c>
      <c r="G5" s="4" t="s">
        <v>13</v>
      </c>
    </row>
    <row r="6" spans="1:7">
      <c r="A6" s="4"/>
      <c r="B6" s="4"/>
      <c r="C6" s="4" t="s">
        <v>14</v>
      </c>
      <c r="D6" s="5">
        <v>1</v>
      </c>
      <c r="E6" s="6">
        <v>0</v>
      </c>
      <c r="F6" s="4" t="s">
        <v>12</v>
      </c>
      <c r="G6" s="4" t="s">
        <v>13</v>
      </c>
    </row>
    <row r="7" spans="1:7">
      <c r="A7" s="7"/>
      <c r="B7" s="7"/>
      <c r="C7" s="7" t="s">
        <v>15</v>
      </c>
      <c r="D7" s="8">
        <f>$C$30</f>
        <v>80.0</v>
      </c>
      <c r="E7" s="9">
        <f>MAX(E5:E6)</f>
        <v>19.88</v>
      </c>
      <c r="F7" s="7" t="s">
        <v>16</v>
      </c>
      <c r="G7" s="7" t="s">
        <v>17</v>
      </c>
    </row>
    <row r="8" spans="1:7">
      <c r="A8" s="4" t="s">
        <v>18</v>
      </c>
      <c r="B8" s="4" t="s">
        <v>10</v>
      </c>
      <c r="C8" s="4" t="s">
        <v>19</v>
      </c>
      <c r="D8" s="5">
        <v>44</v>
      </c>
      <c r="E8" s="6">
        <v>11.86</v>
      </c>
      <c r="F8" s="4" t="s">
        <v>12</v>
      </c>
      <c r="G8" s="4" t="s">
        <v>13</v>
      </c>
    </row>
    <row r="9" spans="1:7">
      <c r="A9" s="4"/>
      <c r="B9" s="4"/>
      <c r="C9" s="4" t="s">
        <v>20</v>
      </c>
      <c r="D9" s="5">
        <v>60</v>
      </c>
      <c r="E9" s="6">
        <v>171.21</v>
      </c>
      <c r="F9" s="4" t="s">
        <v>12</v>
      </c>
      <c r="G9" s="4" t="s">
        <v>13</v>
      </c>
    </row>
    <row r="10" spans="1:7">
      <c r="A10" s="4"/>
      <c r="B10" s="4"/>
      <c r="C10" s="4" t="s">
        <v>21</v>
      </c>
      <c r="D10" s="5">
        <v>60</v>
      </c>
      <c r="E10" s="6">
        <v>169.14</v>
      </c>
      <c r="F10" s="4" t="s">
        <v>12</v>
      </c>
      <c r="G10" s="4" t="s">
        <v>13</v>
      </c>
    </row>
    <row r="11" spans="1:7">
      <c r="A11" s="4"/>
      <c r="B11" s="4"/>
      <c r="C11" s="4" t="s">
        <v>22</v>
      </c>
      <c r="D11" s="5">
        <v>1</v>
      </c>
      <c r="E11" s="6">
        <v>0.01</v>
      </c>
      <c r="F11" s="4" t="s">
        <v>12</v>
      </c>
      <c r="G11" s="4" t="s">
        <v>13</v>
      </c>
    </row>
    <row r="12" spans="1:7">
      <c r="A12" s="4"/>
      <c r="B12" s="4"/>
      <c r="C12" s="4" t="s">
        <v>23</v>
      </c>
      <c r="D12" s="5">
        <v>1</v>
      </c>
      <c r="E12" s="6">
        <v>0</v>
      </c>
      <c r="F12" s="4" t="s">
        <v>12</v>
      </c>
      <c r="G12" s="4" t="s">
        <v>13</v>
      </c>
    </row>
    <row r="13" spans="1:7">
      <c r="A13" s="4"/>
      <c r="B13" s="4"/>
      <c r="C13" s="4" t="s">
        <v>24</v>
      </c>
      <c r="D13" s="5">
        <v>1</v>
      </c>
      <c r="E13" s="6">
        <v>0.8</v>
      </c>
      <c r="F13" s="4" t="s">
        <v>12</v>
      </c>
      <c r="G13" s="4" t="s">
        <v>13</v>
      </c>
    </row>
    <row r="14" spans="1:7">
      <c r="A14" s="4"/>
      <c r="B14" s="4"/>
      <c r="C14" s="4" t="s">
        <v>25</v>
      </c>
      <c r="D14" s="5">
        <v>1</v>
      </c>
      <c r="E14" s="6">
        <v>16.49</v>
      </c>
      <c r="F14" s="4" t="s">
        <v>12</v>
      </c>
      <c r="G14" s="4" t="s">
        <v>13</v>
      </c>
    </row>
    <row r="15" spans="1:7">
      <c r="A15" s="4"/>
      <c r="B15" s="4"/>
      <c r="C15" s="4" t="s">
        <v>26</v>
      </c>
      <c r="D15" s="5">
        <v>8</v>
      </c>
      <c r="E15" s="6">
        <v>0.35</v>
      </c>
      <c r="F15" s="4" t="s">
        <v>12</v>
      </c>
      <c r="G15" s="4" t="s">
        <v>13</v>
      </c>
    </row>
    <row r="16" spans="1:7">
      <c r="A16" s="7"/>
      <c r="B16" s="7"/>
      <c r="C16" s="7" t="s">
        <v>27</v>
      </c>
      <c r="D16" s="8">
        <f>$C$31</f>
        <v>88.0</v>
      </c>
      <c r="E16" s="9">
        <f>MAX(E8:E15)</f>
        <v>171.21</v>
      </c>
      <c r="F16" s="7" t="s">
        <v>16</v>
      </c>
      <c r="G16" s="7" t="s">
        <v>17</v>
      </c>
    </row>
    <row r="17" spans="1:7">
      <c r="A17" s="10" t="s">
        <v>28</v>
      </c>
      <c r="B17" s="10" t="s">
        <v>10</v>
      </c>
      <c r="C17" s="10" t="s">
        <v>29</v>
      </c>
      <c r="D17" s="11">
        <f>MAX(D7,D16)</f>
        <v>88.0</v>
      </c>
      <c r="E17" s="12">
        <f>MAX(E7,E16)</f>
        <v>171.21</v>
      </c>
      <c r="F17" s="10" t="s">
        <v>28</v>
      </c>
      <c r="G17" s="10" t="s">
        <v>30</v>
      </c>
    </row>
    <row r="19" spans="1:7">
      <c r="A19" s="13" t="s">
        <v>9</v>
      </c>
      <c r="B19" s="13" t="s">
        <v>31</v>
      </c>
      <c r="C19" s="13" t="s">
        <v>32</v>
      </c>
      <c r="D19" s="14">
        <v>40</v>
      </c>
      <c r="E19" s="15">
        <v>81.37</v>
      </c>
      <c r="F19" s="13" t="s">
        <v>12</v>
      </c>
      <c r="G19" s="13" t="s">
        <v>33</v>
      </c>
    </row>
    <row r="20" spans="1:7">
      <c r="A20" s="13"/>
      <c r="B20" s="13"/>
      <c r="C20" s="13" t="s">
        <v>34</v>
      </c>
      <c r="D20" s="14">
        <v>40</v>
      </c>
      <c r="E20" s="15">
        <v>48.81</v>
      </c>
      <c r="F20" s="13" t="s">
        <v>12</v>
      </c>
      <c r="G20" s="13" t="s">
        <v>33</v>
      </c>
    </row>
    <row r="21" spans="1:7">
      <c r="A21" s="16"/>
      <c r="B21" s="16"/>
      <c r="C21" s="16" t="s">
        <v>15</v>
      </c>
      <c r="D21" s="17">
        <f>MAX(D19:D20)</f>
        <v>40.0</v>
      </c>
      <c r="E21" s="18">
        <f>MAX(E19:E20)</f>
        <v>81.37</v>
      </c>
      <c r="F21" s="16" t="s">
        <v>16</v>
      </c>
      <c r="G21" s="16" t="s">
        <v>35</v>
      </c>
    </row>
    <row r="22" spans="1:7">
      <c r="A22" s="13" t="s">
        <v>36</v>
      </c>
      <c r="B22" s="13" t="s">
        <v>31</v>
      </c>
      <c r="C22" s="13" t="s">
        <v>37</v>
      </c>
      <c r="D22" s="14">
        <v>60</v>
      </c>
      <c r="E22" s="15">
        <v>278.63</v>
      </c>
      <c r="F22" s="13" t="s">
        <v>12</v>
      </c>
      <c r="G22" s="13" t="s">
        <v>33</v>
      </c>
    </row>
    <row r="23" spans="1:7">
      <c r="A23" s="16"/>
      <c r="B23" s="16"/>
      <c r="C23" s="16" t="s">
        <v>38</v>
      </c>
      <c r="D23" s="17">
        <f>MAX(D22:D22)</f>
        <v>60.0</v>
      </c>
      <c r="E23" s="18">
        <f>MAX(E22:E22)</f>
        <v>278.63</v>
      </c>
      <c r="F23" s="16" t="s">
        <v>16</v>
      </c>
      <c r="G23" s="16" t="s">
        <v>39</v>
      </c>
    </row>
    <row r="24" spans="1:7">
      <c r="A24" s="19" t="s">
        <v>28</v>
      </c>
      <c r="B24" s="19" t="s">
        <v>31</v>
      </c>
      <c r="C24" s="19" t="s">
        <v>29</v>
      </c>
      <c r="D24" s="20">
        <f>MAX(D21,D23)</f>
        <v>60.0</v>
      </c>
      <c r="E24" s="21">
        <f>MAX(E21,E23)</f>
        <v>278.63</v>
      </c>
      <c r="F24" s="19" t="s">
        <v>28</v>
      </c>
      <c r="G24" s="19" t="s">
        <v>40</v>
      </c>
    </row>
    <row r="27" spans="1:7">
      <c r="A27" s="22" t="s">
        <v>41</v>
      </c>
      <c r="B27" s="22"/>
      <c r="C27" s="22"/>
      <c r="D27" s="22"/>
      <c r="E27" s="22"/>
      <c r="F27" s="22"/>
      <c r="G27" s="22"/>
    </row>
    <row r="29" spans="1:7" ht="28" customHeight="1">
      <c r="A29" s="23" t="s">
        <v>3</v>
      </c>
      <c r="B29" s="23" t="s">
        <v>2</v>
      </c>
      <c r="C29" s="23" t="s">
        <v>42</v>
      </c>
      <c r="D29" s="23" t="s">
        <v>43</v>
      </c>
      <c r="E29" s="23"/>
      <c r="F29" s="23"/>
      <c r="G29" s="23"/>
    </row>
    <row r="30" spans="1:7" ht="28" customHeight="1">
      <c r="A30" s="24" t="s">
        <v>10</v>
      </c>
      <c r="B30" s="24" t="s">
        <v>9</v>
      </c>
      <c r="C30" s="25">
        <v>80</v>
      </c>
      <c r="D30" s="24" t="s">
        <v>44</v>
      </c>
      <c r="E30" s="24"/>
      <c r="F30" s="24"/>
      <c r="G30" s="24"/>
    </row>
    <row r="31" spans="1:7" ht="28" customHeight="1">
      <c r="A31" s="24" t="s">
        <v>10</v>
      </c>
      <c r="B31" s="24" t="s">
        <v>45</v>
      </c>
      <c r="C31" s="25">
        <v>88</v>
      </c>
      <c r="D31" s="24" t="s">
        <v>44</v>
      </c>
      <c r="E31" s="24"/>
      <c r="F31" s="24"/>
      <c r="G31" s="24"/>
    </row>
    <row r="35" spans="1:7" ht="20" customHeight="1">
      <c r="A35" s="26" t="s">
        <v>46</v>
      </c>
      <c r="B35" s="26"/>
      <c r="C35" s="26"/>
      <c r="D35" s="26"/>
      <c r="E35" s="26"/>
      <c r="F35" s="26"/>
      <c r="G35" s="26"/>
    </row>
    <row r="36" spans="1:7" ht="20" customHeight="1">
      <c r="A36" s="26"/>
      <c r="B36" s="26"/>
      <c r="C36" s="26"/>
      <c r="D36" s="26"/>
      <c r="E36" s="26"/>
      <c r="F36" s="26"/>
      <c r="G36" s="26"/>
    </row>
    <row r="37" spans="1:7" ht="20" customHeight="1">
      <c r="A37" s="26"/>
      <c r="B37" s="26"/>
      <c r="C37" s="26"/>
      <c r="D37" s="26"/>
      <c r="E37" s="26"/>
      <c r="F37" s="26"/>
      <c r="G37" s="26"/>
    </row>
  </sheetData>
  <mergeCells count="7">
    <mergeCell ref="A1:G1"/>
    <mergeCell ref="A2:G2"/>
    <mergeCell ref="A27:G27"/>
    <mergeCell ref="D29:G29"/>
    <mergeCell ref="D30:G30"/>
    <mergeCell ref="D31:G31"/>
    <mergeCell ref="A35:G37"/>
  </mergeCells>
  <pageMargins left="0.25" right="0.25" top="0.35" bottom="0.35" header="0.3" footer="0.3"/>
  <pageSetup fitToHeight="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21.7109375" customWidth="1"/>
    <col min="3" max="3" width="34.7109375" customWidth="1"/>
    <col min="4" max="4" width="14.7109375" customWidth="1"/>
    <col min="5" max="5" width="15.7109375" customWidth="1"/>
    <col min="6" max="6" width="14.7109375" customWidth="1"/>
    <col min="7" max="7" width="31.7109375" customWidth="1"/>
  </cols>
  <sheetData>
    <row r="1" spans="1:7" ht="26" customHeight="1">
      <c r="A1" s="1" t="s">
        <v>48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4" spans="1:7" ht="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4" t="s">
        <v>10</v>
      </c>
      <c r="C5" s="4" t="s">
        <v>11</v>
      </c>
      <c r="D5" s="5">
        <v>20</v>
      </c>
      <c r="E5" s="6">
        <v>19.53</v>
      </c>
      <c r="F5" s="4" t="s">
        <v>12</v>
      </c>
      <c r="G5" s="4" t="s">
        <v>13</v>
      </c>
    </row>
    <row r="6" spans="1:7">
      <c r="A6" s="4"/>
      <c r="B6" s="4"/>
      <c r="C6" s="4" t="s">
        <v>14</v>
      </c>
      <c r="D6" s="5">
        <v>1</v>
      </c>
      <c r="E6" s="6">
        <v>0</v>
      </c>
      <c r="F6" s="4" t="s">
        <v>12</v>
      </c>
      <c r="G6" s="4" t="s">
        <v>13</v>
      </c>
    </row>
    <row r="7" spans="1:7">
      <c r="A7" s="7"/>
      <c r="B7" s="7"/>
      <c r="C7" s="7" t="s">
        <v>15</v>
      </c>
      <c r="D7" s="8">
        <f>$C$30</f>
        <v>80.0</v>
      </c>
      <c r="E7" s="9">
        <f>MAX(E5:E6)</f>
        <v>19.53</v>
      </c>
      <c r="F7" s="7" t="s">
        <v>16</v>
      </c>
      <c r="G7" s="7" t="s">
        <v>17</v>
      </c>
    </row>
    <row r="8" spans="1:7">
      <c r="A8" s="4" t="s">
        <v>18</v>
      </c>
      <c r="B8" s="4" t="s">
        <v>10</v>
      </c>
      <c r="C8" s="4" t="s">
        <v>19</v>
      </c>
      <c r="D8" s="5">
        <v>44</v>
      </c>
      <c r="E8" s="6">
        <v>22.56</v>
      </c>
      <c r="F8" s="4" t="s">
        <v>12</v>
      </c>
      <c r="G8" s="4" t="s">
        <v>13</v>
      </c>
    </row>
    <row r="9" spans="1:7">
      <c r="A9" s="4"/>
      <c r="B9" s="4"/>
      <c r="C9" s="4" t="s">
        <v>20</v>
      </c>
      <c r="D9" s="5">
        <v>60</v>
      </c>
      <c r="E9" s="6">
        <v>154.88</v>
      </c>
      <c r="F9" s="4" t="s">
        <v>12</v>
      </c>
      <c r="G9" s="4" t="s">
        <v>13</v>
      </c>
    </row>
    <row r="10" spans="1:7">
      <c r="A10" s="4"/>
      <c r="B10" s="4"/>
      <c r="C10" s="4" t="s">
        <v>21</v>
      </c>
      <c r="D10" s="5">
        <v>60</v>
      </c>
      <c r="E10" s="6">
        <v>146.16</v>
      </c>
      <c r="F10" s="4" t="s">
        <v>12</v>
      </c>
      <c r="G10" s="4" t="s">
        <v>13</v>
      </c>
    </row>
    <row r="11" spans="1:7">
      <c r="A11" s="4"/>
      <c r="B11" s="4"/>
      <c r="C11" s="4" t="s">
        <v>22</v>
      </c>
      <c r="D11" s="5">
        <v>1</v>
      </c>
      <c r="E11" s="6">
        <v>0.01</v>
      </c>
      <c r="F11" s="4" t="s">
        <v>12</v>
      </c>
      <c r="G11" s="4" t="s">
        <v>13</v>
      </c>
    </row>
    <row r="12" spans="1:7">
      <c r="A12" s="4"/>
      <c r="B12" s="4"/>
      <c r="C12" s="4" t="s">
        <v>23</v>
      </c>
      <c r="D12" s="5">
        <v>1</v>
      </c>
      <c r="E12" s="6">
        <v>0</v>
      </c>
      <c r="F12" s="4" t="s">
        <v>12</v>
      </c>
      <c r="G12" s="4" t="s">
        <v>13</v>
      </c>
    </row>
    <row r="13" spans="1:7">
      <c r="A13" s="4"/>
      <c r="B13" s="4"/>
      <c r="C13" s="4" t="s">
        <v>24</v>
      </c>
      <c r="D13" s="5">
        <v>1</v>
      </c>
      <c r="E13" s="6">
        <v>0.76</v>
      </c>
      <c r="F13" s="4" t="s">
        <v>12</v>
      </c>
      <c r="G13" s="4" t="s">
        <v>13</v>
      </c>
    </row>
    <row r="14" spans="1:7">
      <c r="A14" s="4"/>
      <c r="B14" s="4"/>
      <c r="C14" s="4" t="s">
        <v>25</v>
      </c>
      <c r="D14" s="5">
        <v>1</v>
      </c>
      <c r="E14" s="6">
        <v>11.37</v>
      </c>
      <c r="F14" s="4" t="s">
        <v>12</v>
      </c>
      <c r="G14" s="4" t="s">
        <v>13</v>
      </c>
    </row>
    <row r="15" spans="1:7">
      <c r="A15" s="4"/>
      <c r="B15" s="4"/>
      <c r="C15" s="4" t="s">
        <v>26</v>
      </c>
      <c r="D15" s="5">
        <v>8</v>
      </c>
      <c r="E15" s="6">
        <v>0.18</v>
      </c>
      <c r="F15" s="4" t="s">
        <v>12</v>
      </c>
      <c r="G15" s="4" t="s">
        <v>13</v>
      </c>
    </row>
    <row r="16" spans="1:7">
      <c r="A16" s="7"/>
      <c r="B16" s="7"/>
      <c r="C16" s="7" t="s">
        <v>27</v>
      </c>
      <c r="D16" s="8">
        <f>$C$31</f>
        <v>132.0</v>
      </c>
      <c r="E16" s="9">
        <f>MAX(E8:E15)</f>
        <v>154.88</v>
      </c>
      <c r="F16" s="7" t="s">
        <v>16</v>
      </c>
      <c r="G16" s="7" t="s">
        <v>17</v>
      </c>
    </row>
    <row r="17" spans="1:7">
      <c r="A17" s="10" t="s">
        <v>28</v>
      </c>
      <c r="B17" s="10" t="s">
        <v>10</v>
      </c>
      <c r="C17" s="10" t="s">
        <v>29</v>
      </c>
      <c r="D17" s="11">
        <f>MAX(D7,D16)</f>
        <v>132.0</v>
      </c>
      <c r="E17" s="12">
        <f>MAX(E7,E16)</f>
        <v>154.88</v>
      </c>
      <c r="F17" s="10" t="s">
        <v>28</v>
      </c>
      <c r="G17" s="10" t="s">
        <v>30</v>
      </c>
    </row>
    <row r="19" spans="1:7">
      <c r="A19" s="13" t="s">
        <v>9</v>
      </c>
      <c r="B19" s="13" t="s">
        <v>31</v>
      </c>
      <c r="C19" s="13" t="s">
        <v>32</v>
      </c>
      <c r="D19" s="14">
        <v>40</v>
      </c>
      <c r="E19" s="15">
        <v>48.81</v>
      </c>
      <c r="F19" s="13" t="s">
        <v>12</v>
      </c>
      <c r="G19" s="13" t="s">
        <v>33</v>
      </c>
    </row>
    <row r="20" spans="1:7">
      <c r="A20" s="13"/>
      <c r="B20" s="13"/>
      <c r="C20" s="13" t="s">
        <v>34</v>
      </c>
      <c r="D20" s="14">
        <v>40</v>
      </c>
      <c r="E20" s="15">
        <v>48.8</v>
      </c>
      <c r="F20" s="13" t="s">
        <v>12</v>
      </c>
      <c r="G20" s="13" t="s">
        <v>33</v>
      </c>
    </row>
    <row r="21" spans="1:7">
      <c r="A21" s="16"/>
      <c r="B21" s="16"/>
      <c r="C21" s="16" t="s">
        <v>15</v>
      </c>
      <c r="D21" s="17">
        <f>MAX(D19:D20)</f>
        <v>40.0</v>
      </c>
      <c r="E21" s="18">
        <f>MAX(E19:E20)</f>
        <v>48.81</v>
      </c>
      <c r="F21" s="16" t="s">
        <v>16</v>
      </c>
      <c r="G21" s="16" t="s">
        <v>35</v>
      </c>
    </row>
    <row r="22" spans="1:7">
      <c r="A22" s="13" t="s">
        <v>36</v>
      </c>
      <c r="B22" s="13" t="s">
        <v>31</v>
      </c>
      <c r="C22" s="13" t="s">
        <v>37</v>
      </c>
      <c r="D22" s="14">
        <v>60</v>
      </c>
      <c r="E22" s="15">
        <v>277.47</v>
      </c>
      <c r="F22" s="13" t="s">
        <v>12</v>
      </c>
      <c r="G22" s="13" t="s">
        <v>33</v>
      </c>
    </row>
    <row r="23" spans="1:7">
      <c r="A23" s="16"/>
      <c r="B23" s="16"/>
      <c r="C23" s="16" t="s">
        <v>38</v>
      </c>
      <c r="D23" s="17">
        <f>MAX(D22:D22)</f>
        <v>60.0</v>
      </c>
      <c r="E23" s="18">
        <f>MAX(E22:E22)</f>
        <v>277.47</v>
      </c>
      <c r="F23" s="16" t="s">
        <v>16</v>
      </c>
      <c r="G23" s="16" t="s">
        <v>39</v>
      </c>
    </row>
    <row r="24" spans="1:7">
      <c r="A24" s="19" t="s">
        <v>28</v>
      </c>
      <c r="B24" s="19" t="s">
        <v>31</v>
      </c>
      <c r="C24" s="19" t="s">
        <v>29</v>
      </c>
      <c r="D24" s="20">
        <f>MAX(D21,D23)</f>
        <v>60.0</v>
      </c>
      <c r="E24" s="21">
        <f>MAX(E21,E23)</f>
        <v>277.47</v>
      </c>
      <c r="F24" s="19" t="s">
        <v>28</v>
      </c>
      <c r="G24" s="19" t="s">
        <v>40</v>
      </c>
    </row>
    <row r="27" spans="1:7">
      <c r="A27" s="22" t="s">
        <v>41</v>
      </c>
      <c r="B27" s="22"/>
      <c r="C27" s="22"/>
      <c r="D27" s="22"/>
      <c r="E27" s="22"/>
      <c r="F27" s="22"/>
      <c r="G27" s="22"/>
    </row>
    <row r="29" spans="1:7" ht="28" customHeight="1">
      <c r="A29" s="23" t="s">
        <v>3</v>
      </c>
      <c r="B29" s="23" t="s">
        <v>2</v>
      </c>
      <c r="C29" s="23" t="s">
        <v>42</v>
      </c>
      <c r="D29" s="23" t="s">
        <v>43</v>
      </c>
      <c r="E29" s="23"/>
      <c r="F29" s="23"/>
      <c r="G29" s="23"/>
    </row>
    <row r="30" spans="1:7" ht="28" customHeight="1">
      <c r="A30" s="24" t="s">
        <v>10</v>
      </c>
      <c r="B30" s="24" t="s">
        <v>9</v>
      </c>
      <c r="C30" s="25">
        <v>80</v>
      </c>
      <c r="D30" s="24" t="s">
        <v>44</v>
      </c>
      <c r="E30" s="24"/>
      <c r="F30" s="24"/>
      <c r="G30" s="24"/>
    </row>
    <row r="31" spans="1:7" ht="28" customHeight="1">
      <c r="A31" s="24" t="s">
        <v>10</v>
      </c>
      <c r="B31" s="24" t="s">
        <v>45</v>
      </c>
      <c r="C31" s="25">
        <v>132</v>
      </c>
      <c r="D31" s="24" t="s">
        <v>44</v>
      </c>
      <c r="E31" s="24"/>
      <c r="F31" s="24"/>
      <c r="G31" s="24"/>
    </row>
    <row r="35" spans="1:7" ht="20" customHeight="1">
      <c r="A35" s="26" t="s">
        <v>46</v>
      </c>
      <c r="B35" s="26"/>
      <c r="C35" s="26"/>
      <c r="D35" s="26"/>
      <c r="E35" s="26"/>
      <c r="F35" s="26"/>
      <c r="G35" s="26"/>
    </row>
    <row r="36" spans="1:7" ht="20" customHeight="1">
      <c r="A36" s="26"/>
      <c r="B36" s="26"/>
      <c r="C36" s="26"/>
      <c r="D36" s="26"/>
      <c r="E36" s="26"/>
      <c r="F36" s="26"/>
      <c r="G36" s="26"/>
    </row>
    <row r="37" spans="1:7" ht="20" customHeight="1">
      <c r="A37" s="26"/>
      <c r="B37" s="26"/>
      <c r="C37" s="26"/>
      <c r="D37" s="26"/>
      <c r="E37" s="26"/>
      <c r="F37" s="26"/>
      <c r="G37" s="26"/>
    </row>
  </sheetData>
  <mergeCells count="7">
    <mergeCell ref="A1:G1"/>
    <mergeCell ref="A2:G2"/>
    <mergeCell ref="A27:G27"/>
    <mergeCell ref="D29:G29"/>
    <mergeCell ref="D30:G30"/>
    <mergeCell ref="D31:G31"/>
    <mergeCell ref="A35:G37"/>
  </mergeCells>
  <pageMargins left="0.25" right="0.25" top="0.35" bottom="0.35" header="0.3" footer="0.3"/>
  <pageSetup fitToHeight="2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21.7109375" customWidth="1"/>
    <col min="3" max="3" width="34.7109375" customWidth="1"/>
    <col min="4" max="4" width="14.7109375" customWidth="1"/>
    <col min="5" max="5" width="15.7109375" customWidth="1"/>
    <col min="6" max="6" width="14.7109375" customWidth="1"/>
    <col min="7" max="7" width="31.7109375" customWidth="1"/>
  </cols>
  <sheetData>
    <row r="1" spans="1:7" ht="26" customHeight="1">
      <c r="A1" s="1" t="s">
        <v>49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4" spans="1:7" ht="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4" t="s">
        <v>10</v>
      </c>
      <c r="C5" s="4" t="s">
        <v>11</v>
      </c>
      <c r="D5" s="5">
        <v>20</v>
      </c>
      <c r="E5" s="6">
        <v>18.71</v>
      </c>
      <c r="F5" s="4" t="s">
        <v>12</v>
      </c>
      <c r="G5" s="4" t="s">
        <v>13</v>
      </c>
    </row>
    <row r="6" spans="1:7">
      <c r="A6" s="4"/>
      <c r="B6" s="4"/>
      <c r="C6" s="4" t="s">
        <v>14</v>
      </c>
      <c r="D6" s="5">
        <v>1</v>
      </c>
      <c r="E6" s="6">
        <v>0</v>
      </c>
      <c r="F6" s="4" t="s">
        <v>12</v>
      </c>
      <c r="G6" s="4" t="s">
        <v>13</v>
      </c>
    </row>
    <row r="7" spans="1:7">
      <c r="A7" s="7"/>
      <c r="B7" s="7"/>
      <c r="C7" s="7" t="s">
        <v>15</v>
      </c>
      <c r="D7" s="8">
        <f>$C$30</f>
        <v>80.0</v>
      </c>
      <c r="E7" s="9">
        <f>MAX(E5:E6)</f>
        <v>18.71</v>
      </c>
      <c r="F7" s="7" t="s">
        <v>16</v>
      </c>
      <c r="G7" s="7" t="s">
        <v>17</v>
      </c>
    </row>
    <row r="8" spans="1:7">
      <c r="A8" s="4" t="s">
        <v>18</v>
      </c>
      <c r="B8" s="4" t="s">
        <v>10</v>
      </c>
      <c r="C8" s="4" t="s">
        <v>19</v>
      </c>
      <c r="D8" s="5">
        <v>44</v>
      </c>
      <c r="E8" s="6">
        <v>19.47</v>
      </c>
      <c r="F8" s="4" t="s">
        <v>12</v>
      </c>
      <c r="G8" s="4" t="s">
        <v>13</v>
      </c>
    </row>
    <row r="9" spans="1:7">
      <c r="A9" s="4"/>
      <c r="B9" s="4"/>
      <c r="C9" s="4" t="s">
        <v>20</v>
      </c>
      <c r="D9" s="5">
        <v>60</v>
      </c>
      <c r="E9" s="6">
        <v>134.47</v>
      </c>
      <c r="F9" s="4" t="s">
        <v>12</v>
      </c>
      <c r="G9" s="4" t="s">
        <v>13</v>
      </c>
    </row>
    <row r="10" spans="1:7">
      <c r="A10" s="4"/>
      <c r="B10" s="4"/>
      <c r="C10" s="4" t="s">
        <v>21</v>
      </c>
      <c r="D10" s="5">
        <v>60</v>
      </c>
      <c r="E10" s="6">
        <v>131.58</v>
      </c>
      <c r="F10" s="4" t="s">
        <v>12</v>
      </c>
      <c r="G10" s="4" t="s">
        <v>13</v>
      </c>
    </row>
    <row r="11" spans="1:7">
      <c r="A11" s="4"/>
      <c r="B11" s="4"/>
      <c r="C11" s="4" t="s">
        <v>22</v>
      </c>
      <c r="D11" s="5">
        <v>1</v>
      </c>
      <c r="E11" s="6">
        <v>0.01</v>
      </c>
      <c r="F11" s="4" t="s">
        <v>12</v>
      </c>
      <c r="G11" s="4" t="s">
        <v>13</v>
      </c>
    </row>
    <row r="12" spans="1:7">
      <c r="A12" s="4"/>
      <c r="B12" s="4"/>
      <c r="C12" s="4" t="s">
        <v>23</v>
      </c>
      <c r="D12" s="5">
        <v>1</v>
      </c>
      <c r="E12" s="6">
        <v>0</v>
      </c>
      <c r="F12" s="4" t="s">
        <v>12</v>
      </c>
      <c r="G12" s="4" t="s">
        <v>13</v>
      </c>
    </row>
    <row r="13" spans="1:7">
      <c r="A13" s="4"/>
      <c r="B13" s="4"/>
      <c r="C13" s="4" t="s">
        <v>24</v>
      </c>
      <c r="D13" s="5">
        <v>1</v>
      </c>
      <c r="E13" s="6">
        <v>0.73</v>
      </c>
      <c r="F13" s="4" t="s">
        <v>12</v>
      </c>
      <c r="G13" s="4" t="s">
        <v>13</v>
      </c>
    </row>
    <row r="14" spans="1:7">
      <c r="A14" s="4"/>
      <c r="B14" s="4"/>
      <c r="C14" s="4" t="s">
        <v>25</v>
      </c>
      <c r="D14" s="5">
        <v>1</v>
      </c>
      <c r="E14" s="6">
        <v>10.13</v>
      </c>
      <c r="F14" s="4" t="s">
        <v>12</v>
      </c>
      <c r="G14" s="4" t="s">
        <v>13</v>
      </c>
    </row>
    <row r="15" spans="1:7">
      <c r="A15" s="4"/>
      <c r="B15" s="4"/>
      <c r="C15" s="4" t="s">
        <v>26</v>
      </c>
      <c r="D15" s="5">
        <v>8</v>
      </c>
      <c r="E15" s="6">
        <v>0.18</v>
      </c>
      <c r="F15" s="4" t="s">
        <v>12</v>
      </c>
      <c r="G15" s="4" t="s">
        <v>13</v>
      </c>
    </row>
    <row r="16" spans="1:7">
      <c r="A16" s="7"/>
      <c r="B16" s="7"/>
      <c r="C16" s="7" t="s">
        <v>27</v>
      </c>
      <c r="D16" s="8">
        <f>$C$31</f>
        <v>132.0</v>
      </c>
      <c r="E16" s="9">
        <f>MAX(E8:E15)</f>
        <v>134.47</v>
      </c>
      <c r="F16" s="7" t="s">
        <v>16</v>
      </c>
      <c r="G16" s="7" t="s">
        <v>17</v>
      </c>
    </row>
    <row r="17" spans="1:7">
      <c r="A17" s="10" t="s">
        <v>28</v>
      </c>
      <c r="B17" s="10" t="s">
        <v>10</v>
      </c>
      <c r="C17" s="10" t="s">
        <v>29</v>
      </c>
      <c r="D17" s="11">
        <f>MAX(D7,D16)</f>
        <v>132.0</v>
      </c>
      <c r="E17" s="12">
        <f>MAX(E7,E16)</f>
        <v>134.47</v>
      </c>
      <c r="F17" s="10" t="s">
        <v>28</v>
      </c>
      <c r="G17" s="10" t="s">
        <v>30</v>
      </c>
    </row>
    <row r="19" spans="1:7">
      <c r="A19" s="13" t="s">
        <v>9</v>
      </c>
      <c r="B19" s="13" t="s">
        <v>31</v>
      </c>
      <c r="C19" s="13" t="s">
        <v>32</v>
      </c>
      <c r="D19" s="14">
        <v>40</v>
      </c>
      <c r="E19" s="15">
        <v>48.83</v>
      </c>
      <c r="F19" s="13" t="s">
        <v>12</v>
      </c>
      <c r="G19" s="13" t="s">
        <v>33</v>
      </c>
    </row>
    <row r="20" spans="1:7">
      <c r="A20" s="13"/>
      <c r="B20" s="13"/>
      <c r="C20" s="13" t="s">
        <v>34</v>
      </c>
      <c r="D20" s="14">
        <v>40</v>
      </c>
      <c r="E20" s="15">
        <v>48.8</v>
      </c>
      <c r="F20" s="13" t="s">
        <v>12</v>
      </c>
      <c r="G20" s="13" t="s">
        <v>33</v>
      </c>
    </row>
    <row r="21" spans="1:7">
      <c r="A21" s="16"/>
      <c r="B21" s="16"/>
      <c r="C21" s="16" t="s">
        <v>15</v>
      </c>
      <c r="D21" s="17">
        <f>MAX(D19:D20)</f>
        <v>40.0</v>
      </c>
      <c r="E21" s="18">
        <f>MAX(E19:E20)</f>
        <v>48.83</v>
      </c>
      <c r="F21" s="16" t="s">
        <v>16</v>
      </c>
      <c r="G21" s="16" t="s">
        <v>35</v>
      </c>
    </row>
    <row r="22" spans="1:7">
      <c r="A22" s="13" t="s">
        <v>36</v>
      </c>
      <c r="B22" s="13" t="s">
        <v>31</v>
      </c>
      <c r="C22" s="13" t="s">
        <v>37</v>
      </c>
      <c r="D22" s="14">
        <v>60</v>
      </c>
      <c r="E22" s="15">
        <v>240.69</v>
      </c>
      <c r="F22" s="13" t="s">
        <v>12</v>
      </c>
      <c r="G22" s="13" t="s">
        <v>33</v>
      </c>
    </row>
    <row r="23" spans="1:7">
      <c r="A23" s="16"/>
      <c r="B23" s="16"/>
      <c r="C23" s="16" t="s">
        <v>38</v>
      </c>
      <c r="D23" s="17">
        <f>MAX(D22:D22)</f>
        <v>60.0</v>
      </c>
      <c r="E23" s="18">
        <f>MAX(E22:E22)</f>
        <v>240.69</v>
      </c>
      <c r="F23" s="16" t="s">
        <v>16</v>
      </c>
      <c r="G23" s="16" t="s">
        <v>39</v>
      </c>
    </row>
    <row r="24" spans="1:7">
      <c r="A24" s="19" t="s">
        <v>28</v>
      </c>
      <c r="B24" s="19" t="s">
        <v>31</v>
      </c>
      <c r="C24" s="19" t="s">
        <v>29</v>
      </c>
      <c r="D24" s="20">
        <f>MAX(D21,D23)</f>
        <v>60.0</v>
      </c>
      <c r="E24" s="21">
        <f>MAX(E21,E23)</f>
        <v>240.69</v>
      </c>
      <c r="F24" s="19" t="s">
        <v>28</v>
      </c>
      <c r="G24" s="19" t="s">
        <v>40</v>
      </c>
    </row>
    <row r="27" spans="1:7">
      <c r="A27" s="22" t="s">
        <v>41</v>
      </c>
      <c r="B27" s="22"/>
      <c r="C27" s="22"/>
      <c r="D27" s="22"/>
      <c r="E27" s="22"/>
      <c r="F27" s="22"/>
      <c r="G27" s="22"/>
    </row>
    <row r="29" spans="1:7" ht="28" customHeight="1">
      <c r="A29" s="23" t="s">
        <v>3</v>
      </c>
      <c r="B29" s="23" t="s">
        <v>2</v>
      </c>
      <c r="C29" s="23" t="s">
        <v>42</v>
      </c>
      <c r="D29" s="23" t="s">
        <v>43</v>
      </c>
      <c r="E29" s="23"/>
      <c r="F29" s="23"/>
      <c r="G29" s="23"/>
    </row>
    <row r="30" spans="1:7" ht="28" customHeight="1">
      <c r="A30" s="24" t="s">
        <v>10</v>
      </c>
      <c r="B30" s="24" t="s">
        <v>9</v>
      </c>
      <c r="C30" s="25">
        <v>80</v>
      </c>
      <c r="D30" s="24" t="s">
        <v>44</v>
      </c>
      <c r="E30" s="24"/>
      <c r="F30" s="24"/>
      <c r="G30" s="24"/>
    </row>
    <row r="31" spans="1:7" ht="28" customHeight="1">
      <c r="A31" s="24" t="s">
        <v>10</v>
      </c>
      <c r="B31" s="24" t="s">
        <v>45</v>
      </c>
      <c r="C31" s="25">
        <v>132</v>
      </c>
      <c r="D31" s="24" t="s">
        <v>44</v>
      </c>
      <c r="E31" s="24"/>
      <c r="F31" s="24"/>
      <c r="G31" s="24"/>
    </row>
    <row r="35" spans="1:7" ht="20" customHeight="1">
      <c r="A35" s="26" t="s">
        <v>46</v>
      </c>
      <c r="B35" s="26"/>
      <c r="C35" s="26"/>
      <c r="D35" s="26"/>
      <c r="E35" s="26"/>
      <c r="F35" s="26"/>
      <c r="G35" s="26"/>
    </row>
    <row r="36" spans="1:7" ht="20" customHeight="1">
      <c r="A36" s="26"/>
      <c r="B36" s="26"/>
      <c r="C36" s="26"/>
      <c r="D36" s="26"/>
      <c r="E36" s="26"/>
      <c r="F36" s="26"/>
      <c r="G36" s="26"/>
    </row>
    <row r="37" spans="1:7" ht="20" customHeight="1">
      <c r="A37" s="26"/>
      <c r="B37" s="26"/>
      <c r="C37" s="26"/>
      <c r="D37" s="26"/>
      <c r="E37" s="26"/>
      <c r="F37" s="26"/>
      <c r="G37" s="26"/>
    </row>
  </sheetData>
  <mergeCells count="7">
    <mergeCell ref="A1:G1"/>
    <mergeCell ref="A2:G2"/>
    <mergeCell ref="A27:G27"/>
    <mergeCell ref="D29:G29"/>
    <mergeCell ref="D30:G30"/>
    <mergeCell ref="D31:G31"/>
    <mergeCell ref="A35:G37"/>
  </mergeCells>
  <pageMargins left="0.25" right="0.25" top="0.35" bottom="0.35" header="0.3" footer="0.3"/>
  <pageSetup fitToHeight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HG002</vt:lpstr>
      <vt:lpstr>HG005</vt:lpstr>
      <vt:lpstr>HG01109</vt:lpstr>
      <vt:lpstr>HG01243</vt:lpstr>
      <vt:lpstr>'HG002'!Print_Area</vt:lpstr>
      <vt:lpstr>'HG005'!Print_Area</vt:lpstr>
      <vt:lpstr>'HG01109'!Print_Area</vt:lpstr>
      <vt:lpstr>'HG01243'!Print_Area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Table 3 — CPU and memory requirements</dc:title>
  <dc:creator>RFhap computational comparison</dc:creator>
  <dc:description>Generated reproducibly from Nextflow, yak, and hifiasm logs.</dc:description>
  <cp:lastModifiedBy>RFhap computational comparison</cp:lastModifiedBy>
  <dcterms:created xsi:type="dcterms:W3CDTF">2026-07-07T17:21:19Z</dcterms:created>
  <dcterms:modified xsi:type="dcterms:W3CDTF">2026-07-07T17:21:19Z</dcterms:modified>
</cp:coreProperties>
</file>